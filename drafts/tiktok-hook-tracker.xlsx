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Words x 0.315 s/word (pace target from the TikTok handover). Replace with the real length after filming.</t>
        </r>
      </text>
    </comment>
    <comment ref="H1" authorId="0">
      <text>
        <r>
          <rPr>
            <sz val="10"/>
            <rFont val="Arial"/>
            <family val="2"/>
          </rPr>
          <t xml:space="preserve">TikTok Studio &gt; post analytics. A failed read is UNKNOWN: leave blank, never 0.</t>
        </r>
      </text>
    </comment>
    <comment ref="I1" authorId="0">
      <text>
        <r>
          <rPr>
            <sz val="10"/>
            <rFont val="Arial"/>
            <family val="2"/>
          </rPr>
          <t xml:space="preserve">TikTok Studio &gt; post &gt; Average watch time.</t>
        </r>
      </text>
    </comment>
    <comment ref="P1" authorId="0">
      <text>
        <r>
          <rPr>
            <sz val="10"/>
            <rFont val="Arial"/>
            <family val="2"/>
          </rPr>
          <t xml:space="preserve">From the UTM-tagged bio link (e.g. utm_content=hook04). Blank until the sales page is live.</t>
        </r>
      </text>
    </comment>
  </commentList>
</comments>
</file>

<file path=xl/sharedStrings.xml><?xml version="1.0" encoding="utf-8"?>
<sst xmlns="http://schemas.openxmlformats.org/spreadsheetml/2006/main" count="65" uniqueCount="61">
  <si>
    <t xml:space="preserve">#</t>
  </si>
  <si>
    <t xml:space="preserve">Hook name</t>
  </si>
  <si>
    <t xml:space="preserve">Hook (first line)</t>
  </si>
  <si>
    <t xml:space="preserve">Words</t>
  </si>
  <si>
    <t xml:space="preserve">Est. length (s)</t>
  </si>
  <si>
    <t xml:space="preserve">Posted (date/time)</t>
  </si>
  <si>
    <t xml:space="preserve">TikTok post ID</t>
  </si>
  <si>
    <t xml:space="preserve">Views 24h</t>
  </si>
  <si>
    <t xml:space="preserve">Avg watch time 24h (s)</t>
  </si>
  <si>
    <t xml:space="preserve">Watch % 24h</t>
  </si>
  <si>
    <t xml:space="preserve">Views 72h</t>
  </si>
  <si>
    <t xml:space="preserve">Views 7d</t>
  </si>
  <si>
    <t xml:space="preserve">Likes 7d</t>
  </si>
  <si>
    <t xml:space="preserve">Comments 7d</t>
  </si>
  <si>
    <t xml:space="preserve">Shares 7d</t>
  </si>
  <si>
    <t xml:space="preserve">Bio link clicks 7d</t>
  </si>
  <si>
    <t xml:space="preserve">Click rate 7d</t>
  </si>
  <si>
    <t xml:space="preserve">x Baseline (24h)</t>
  </si>
  <si>
    <t xml:space="preserve">Status</t>
  </si>
  <si>
    <t xml:space="preserve">Notes</t>
  </si>
  <si>
    <t xml:space="preserve">Five lines in robots.txt</t>
  </si>
  <si>
    <t xml:space="preserve">The obvious fix for this client was more content.</t>
  </si>
  <si>
    <t xml:space="preserve">Posts with 24h views</t>
  </si>
  <si>
    <t xml:space="preserve">After the May core update</t>
  </si>
  <si>
    <t xml:space="preserve">If your traffic dropped after Google's May core update,</t>
  </si>
  <si>
    <t xml:space="preserve">Baseline (median 24h views)</t>
  </si>
  <si>
    <t xml:space="preserve">The page that was switched off</t>
  </si>
  <si>
    <t xml:space="preserve">One of this site's best pages had been switched off.</t>
  </si>
  <si>
    <t xml:space="preserve">Winner bar</t>
  </si>
  <si>
    <t xml:space="preserve">Two pages</t>
  </si>
  <si>
    <t xml:space="preserve">Two pages. Same visibility.</t>
  </si>
  <si>
    <t xml:space="preserve">Best watch %</t>
  </si>
  <si>
    <t xml:space="preserve">Not a content problem</t>
  </si>
  <si>
    <t xml:space="preserve">A traffic drop isn't always a content problem.</t>
  </si>
  <si>
    <t xml:space="preserve">Hook with best watch %</t>
  </si>
  <si>
    <t xml:space="preserve">764 keywords</t>
  </si>
  <si>
    <t xml:space="preserve">764 keywords. 98 clicks in sixteen months.</t>
  </si>
  <si>
    <t xml:space="preserve">The blank doc</t>
  </si>
  <si>
    <t xml:space="preserve">After a traffic drop, most of us open a blank doc and start rewriting.</t>
  </si>
  <si>
    <t xml:space="preserve">Page one, no clicks</t>
  </si>
  <si>
    <t xml:space="preserve">Forty of this site's pages were already on page one of Google.</t>
  </si>
  <si>
    <t xml:space="preserve">The bots</t>
  </si>
  <si>
    <t xml:space="preserve">Part of this site's visibility loss wasn't people at all.</t>
  </si>
  <si>
    <t xml:space="preserve">Read the data</t>
  </si>
  <si>
    <t xml:space="preserve">The usual advice is publish more.</t>
  </si>
  <si>
    <t xml:space="preserve">How to use this tracker</t>
  </si>
  <si>
    <t xml:space="preserve">Yellow cells with blue text are the only cells you fill in. Everything else is a formula.</t>
  </si>
  <si>
    <t xml:space="preserve">Leave a cell blank if you couldn't read the number. Blank means UNKNOWN, never zero.</t>
  </si>
  <si>
    <t xml:space="preserve">Read each post at 24 hours, 72 hours and 7 days, from TikTok Studio.</t>
  </si>
  <si>
    <t xml:space="preserve">Rules (from the TikTok handover)</t>
  </si>
  <si>
    <t xml:space="preserve">Baseline = median 24h views of posted videos. Needs at least 5 posts, otherwise 'Insufficient evidence'.</t>
  </si>
  <si>
    <t xml:space="preserve">Provisional winner = at least 200 views at 24h AND at least 1.5x the baseline.</t>
  </si>
  <si>
    <t xml:space="preserve">Change one thing per test: the hook. Same setting, delivery, time slot and hashtags.</t>
  </si>
  <si>
    <t xml:space="preserve">Re-post the top 2-3 hooks once before trusting them. A hook that wins twice is real.</t>
  </si>
  <si>
    <t xml:space="preserve">For ads, prefer hooks that win on BOTH watch % and bio link clicks.</t>
  </si>
  <si>
    <t xml:space="preserve">Example of a filled row (illustrative only, not real data)</t>
  </si>
  <si>
    <t xml:space="preserve">Hook</t>
  </si>
  <si>
    <t xml:space="preserve">Posted</t>
  </si>
  <si>
    <t xml:space="preserve">Avg watch 24h (s)</t>
  </si>
  <si>
    <t xml:space="preserve">04 Two pages</t>
  </si>
  <si>
    <t xml:space="preserve">2026-10-08 11:55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</si>
</sst>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yyyy\-mm\-dd\ hh:mm"/>
    <numFmt numFmtId="167" formatCode="0.0%"/>
    <numFmt numFmtId="168" formatCode="0.00\x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2" min="10" style="0" width="9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20"/>
    <col collapsed="false" customWidth="true" hidden="false" outlineLevel="0" max="20" min="20" style="0" width="30"/>
    <col collapsed="false" customWidth="true" hidden="false" outlineLevel="0" max="22" min="22" style="0" width="26"/>
    <col collapsed="false" customWidth="true" hidden="false" outlineLevel="0" max="23" min="23" style="0" width="24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1</v>
      </c>
      <c r="B2" s="2" t="s">
        <v>20</v>
      </c>
      <c r="C2" s="3" t="s">
        <v>21</v>
      </c>
      <c r="D2" s="2" t="n">
        <v>42</v>
      </c>
      <c r="E2" s="4" t="n">
        <f aca="false">D2*0.315</f>
        <v>13.23</v>
      </c>
      <c r="F2" s="5"/>
      <c r="G2" s="6"/>
      <c r="H2" s="6"/>
      <c r="I2" s="6"/>
      <c r="J2" s="7" t="str">
        <f aca="false">IF(OR(H2="",I2=""),"",I2/E2)</f>
        <v/>
      </c>
      <c r="K2" s="6"/>
      <c r="L2" s="6"/>
      <c r="M2" s="6"/>
      <c r="N2" s="6"/>
      <c r="O2" s="6"/>
      <c r="P2" s="6"/>
      <c r="Q2" s="7" t="str">
        <f aca="false">IF(OR(L2="",P2="",L2=0),"",P2/L2)</f>
        <v/>
      </c>
      <c r="R2" s="8" t="str">
        <f aca="false">IF(OR(H2="",NOT(ISNUMBER($W$3)),$W$3=0),"",H2/$W$3)</f>
        <v/>
      </c>
      <c r="S2" s="2" t="str">
        <f aca="false">IF(H2="","Not posted",IF(NOT(ISNUMBER($W$3)),"Insufficient evidence",IF(AND(H2&gt;=200,R2&gt;=1.5),"Provisional winner","Below bar")))</f>
        <v>Not posted</v>
      </c>
      <c r="T2" s="6"/>
      <c r="V2" s="9" t="s">
        <v>22</v>
      </c>
      <c r="W2" s="2" t="n">
        <f aca="false">COUNT(H2:H11)</f>
        <v>0</v>
      </c>
    </row>
    <row r="3" customFormat="false" ht="15" hidden="false" customHeight="false" outlineLevel="0" collapsed="false">
      <c r="A3" s="2" t="n">
        <v>2</v>
      </c>
      <c r="B3" s="2" t="s">
        <v>23</v>
      </c>
      <c r="C3" s="3" t="s">
        <v>24</v>
      </c>
      <c r="D3" s="2" t="n">
        <v>36</v>
      </c>
      <c r="E3" s="4" t="n">
        <f aca="false">D3*0.315</f>
        <v>11.34</v>
      </c>
      <c r="F3" s="5"/>
      <c r="G3" s="6"/>
      <c r="H3" s="6"/>
      <c r="I3" s="6"/>
      <c r="J3" s="7" t="str">
        <f aca="false">IF(OR(H3="",I3=""),"",I3/E3)</f>
        <v/>
      </c>
      <c r="K3" s="6"/>
      <c r="L3" s="6"/>
      <c r="M3" s="6"/>
      <c r="N3" s="6"/>
      <c r="O3" s="6"/>
      <c r="P3" s="6"/>
      <c r="Q3" s="7" t="str">
        <f aca="false">IF(OR(L3="",P3="",L3=0),"",P3/L3)</f>
        <v/>
      </c>
      <c r="R3" s="8" t="str">
        <f aca="false">IF(OR(H3="",NOT(ISNUMBER($W$3)),$W$3=0),"",H3/$W$3)</f>
        <v/>
      </c>
      <c r="S3" s="2" t="str">
        <f aca="false">IF(H3="","Not posted",IF(NOT(ISNUMBER($W$3)),"Insufficient evidence",IF(AND(H3&gt;=200,R3&gt;=1.5),"Provisional winner","Below bar")))</f>
        <v>Not posted</v>
      </c>
      <c r="T3" s="6"/>
      <c r="V3" s="9" t="s">
        <v>25</v>
      </c>
      <c r="W3" s="2" t="str">
        <f aca="false">IF(W2&gt;=5,MEDIAN(H2:H11),"Insufficient evidence (&lt;5)")</f>
        <v>Insufficient evidence (&lt;5)</v>
      </c>
    </row>
    <row r="4" customFormat="false" ht="15" hidden="false" customHeight="false" outlineLevel="0" collapsed="false">
      <c r="A4" s="2" t="n">
        <v>3</v>
      </c>
      <c r="B4" s="2" t="s">
        <v>26</v>
      </c>
      <c r="C4" s="3" t="s">
        <v>27</v>
      </c>
      <c r="D4" s="2" t="n">
        <v>42</v>
      </c>
      <c r="E4" s="4" t="n">
        <f aca="false">D4*0.315</f>
        <v>13.23</v>
      </c>
      <c r="F4" s="5"/>
      <c r="G4" s="6"/>
      <c r="H4" s="6"/>
      <c r="I4" s="6"/>
      <c r="J4" s="7" t="str">
        <f aca="false">IF(OR(H4="",I4=""),"",I4/E4)</f>
        <v/>
      </c>
      <c r="K4" s="6"/>
      <c r="L4" s="6"/>
      <c r="M4" s="6"/>
      <c r="N4" s="6"/>
      <c r="O4" s="6"/>
      <c r="P4" s="6"/>
      <c r="Q4" s="7" t="str">
        <f aca="false">IF(OR(L4="",P4="",L4=0),"",P4/L4)</f>
        <v/>
      </c>
      <c r="R4" s="8" t="str">
        <f aca="false">IF(OR(H4="",NOT(ISNUMBER($W$3)),$W$3=0),"",H4/$W$3)</f>
        <v/>
      </c>
      <c r="S4" s="2" t="str">
        <f aca="false">IF(H4="","Not posted",IF(NOT(ISNUMBER($W$3)),"Insufficient evidence",IF(AND(H4&gt;=200,R4&gt;=1.5),"Provisional winner","Below bar")))</f>
        <v>Not posted</v>
      </c>
      <c r="T4" s="6"/>
      <c r="V4" s="9" t="s">
        <v>28</v>
      </c>
      <c r="W4" s="10" t="str">
        <f aca="false">IF(ISNUMBER(W3),MAX(200,1.5*W3),"")</f>
        <v/>
      </c>
    </row>
    <row r="5" customFormat="false" ht="15" hidden="false" customHeight="false" outlineLevel="0" collapsed="false">
      <c r="A5" s="2" t="n">
        <v>4</v>
      </c>
      <c r="B5" s="2" t="s">
        <v>29</v>
      </c>
      <c r="C5" s="3" t="s">
        <v>30</v>
      </c>
      <c r="D5" s="2" t="n">
        <v>40</v>
      </c>
      <c r="E5" s="4" t="n">
        <f aca="false">D5*0.315</f>
        <v>12.6</v>
      </c>
      <c r="F5" s="5"/>
      <c r="G5" s="6"/>
      <c r="H5" s="6"/>
      <c r="I5" s="6"/>
      <c r="J5" s="7" t="str">
        <f aca="false">IF(OR(H5="",I5=""),"",I5/E5)</f>
        <v/>
      </c>
      <c r="K5" s="6"/>
      <c r="L5" s="6"/>
      <c r="M5" s="6"/>
      <c r="N5" s="6"/>
      <c r="O5" s="6"/>
      <c r="P5" s="6"/>
      <c r="Q5" s="7" t="str">
        <f aca="false">IF(OR(L5="",P5="",L5=0),"",P5/L5)</f>
        <v/>
      </c>
      <c r="R5" s="8" t="str">
        <f aca="false">IF(OR(H5="",NOT(ISNUMBER($W$3)),$W$3=0),"",H5/$W$3)</f>
        <v/>
      </c>
      <c r="S5" s="2" t="str">
        <f aca="false">IF(H5="","Not posted",IF(NOT(ISNUMBER($W$3)),"Insufficient evidence",IF(AND(H5&gt;=200,R5&gt;=1.5),"Provisional winner","Below bar")))</f>
        <v>Not posted</v>
      </c>
      <c r="T5" s="6"/>
      <c r="V5" s="9" t="s">
        <v>31</v>
      </c>
      <c r="W5" s="7" t="str">
        <f aca="false">IF(COUNT(J2:J11)=0,"",MAX(J2:J11))</f>
        <v/>
      </c>
    </row>
    <row r="6" customFormat="false" ht="15" hidden="false" customHeight="false" outlineLevel="0" collapsed="false">
      <c r="A6" s="2" t="n">
        <v>5</v>
      </c>
      <c r="B6" s="2" t="s">
        <v>32</v>
      </c>
      <c r="C6" s="3" t="s">
        <v>33</v>
      </c>
      <c r="D6" s="2" t="n">
        <v>41</v>
      </c>
      <c r="E6" s="4" t="n">
        <f aca="false">D6*0.315</f>
        <v>12.915</v>
      </c>
      <c r="F6" s="5"/>
      <c r="G6" s="6"/>
      <c r="H6" s="6"/>
      <c r="I6" s="6"/>
      <c r="J6" s="7" t="str">
        <f aca="false">IF(OR(H6="",I6=""),"",I6/E6)</f>
        <v/>
      </c>
      <c r="K6" s="6"/>
      <c r="L6" s="6"/>
      <c r="M6" s="6"/>
      <c r="N6" s="6"/>
      <c r="O6" s="6"/>
      <c r="P6" s="6"/>
      <c r="Q6" s="7" t="str">
        <f aca="false">IF(OR(L6="",P6="",L6=0),"",P6/L6)</f>
        <v/>
      </c>
      <c r="R6" s="8" t="str">
        <f aca="false">IF(OR(H6="",NOT(ISNUMBER($W$3)),$W$3=0),"",H6/$W$3)</f>
        <v/>
      </c>
      <c r="S6" s="2" t="str">
        <f aca="false">IF(H6="","Not posted",IF(NOT(ISNUMBER($W$3)),"Insufficient evidence",IF(AND(H6&gt;=200,R6&gt;=1.5),"Provisional winner","Below bar")))</f>
        <v>Not posted</v>
      </c>
      <c r="T6" s="6"/>
      <c r="V6" s="9" t="s">
        <v>34</v>
      </c>
      <c r="W6" s="2" t="str">
        <f aca="false">IF(W5="","",INDEX(B2:B11,MATCH(W5,J2:J11,0)))</f>
        <v/>
      </c>
    </row>
    <row r="7" customFormat="false" ht="15" hidden="false" customHeight="false" outlineLevel="0" collapsed="false">
      <c r="A7" s="2" t="n">
        <v>6</v>
      </c>
      <c r="B7" s="2" t="s">
        <v>35</v>
      </c>
      <c r="C7" s="3" t="s">
        <v>36</v>
      </c>
      <c r="D7" s="2" t="n">
        <v>42</v>
      </c>
      <c r="E7" s="4" t="n">
        <f aca="false">D7*0.315</f>
        <v>13.23</v>
      </c>
      <c r="F7" s="5"/>
      <c r="G7" s="6"/>
      <c r="H7" s="6"/>
      <c r="I7" s="6"/>
      <c r="J7" s="7" t="str">
        <f aca="false">IF(OR(H7="",I7=""),"",I7/E7)</f>
        <v/>
      </c>
      <c r="K7" s="6"/>
      <c r="L7" s="6"/>
      <c r="M7" s="6"/>
      <c r="N7" s="6"/>
      <c r="O7" s="6"/>
      <c r="P7" s="6"/>
      <c r="Q7" s="7" t="str">
        <f aca="false">IF(OR(L7="",P7="",L7=0),"",P7/L7)</f>
        <v/>
      </c>
      <c r="R7" s="8" t="str">
        <f aca="false">IF(OR(H7="",NOT(ISNUMBER($W$3)),$W$3=0),"",H7/$W$3)</f>
        <v/>
      </c>
      <c r="S7" s="2" t="str">
        <f aca="false">IF(H7="","Not posted",IF(NOT(ISNUMBER($W$3)),"Insufficient evidence",IF(AND(H7&gt;=200,R7&gt;=1.5),"Provisional winner","Below bar")))</f>
        <v>Not posted</v>
      </c>
      <c r="T7" s="6"/>
    </row>
    <row r="8" customFormat="false" ht="26.85" hidden="false" customHeight="false" outlineLevel="0" collapsed="false">
      <c r="A8" s="2" t="n">
        <v>7</v>
      </c>
      <c r="B8" s="2" t="s">
        <v>37</v>
      </c>
      <c r="C8" s="3" t="s">
        <v>38</v>
      </c>
      <c r="D8" s="2" t="n">
        <v>41</v>
      </c>
      <c r="E8" s="4" t="n">
        <f aca="false">D8*0.315</f>
        <v>12.915</v>
      </c>
      <c r="F8" s="5"/>
      <c r="G8" s="6"/>
      <c r="H8" s="6"/>
      <c r="I8" s="6"/>
      <c r="J8" s="7" t="str">
        <f aca="false">IF(OR(H8="",I8=""),"",I8/E8)</f>
        <v/>
      </c>
      <c r="K8" s="6"/>
      <c r="L8" s="6"/>
      <c r="M8" s="6"/>
      <c r="N8" s="6"/>
      <c r="O8" s="6"/>
      <c r="P8" s="6"/>
      <c r="Q8" s="7" t="str">
        <f aca="false">IF(OR(L8="",P8="",L8=0),"",P8/L8)</f>
        <v/>
      </c>
      <c r="R8" s="8" t="str">
        <f aca="false">IF(OR(H8="",NOT(ISNUMBER($W$3)),$W$3=0),"",H8/$W$3)</f>
        <v/>
      </c>
      <c r="S8" s="2" t="str">
        <f aca="false">IF(H8="","Not posted",IF(NOT(ISNUMBER($W$3)),"Insufficient evidence",IF(AND(H8&gt;=200,R8&gt;=1.5),"Provisional winner","Below bar")))</f>
        <v>Not posted</v>
      </c>
      <c r="T8" s="6"/>
    </row>
    <row r="9" customFormat="false" ht="15" hidden="false" customHeight="false" outlineLevel="0" collapsed="false">
      <c r="A9" s="2" t="n">
        <v>8</v>
      </c>
      <c r="B9" s="2" t="s">
        <v>39</v>
      </c>
      <c r="C9" s="3" t="s">
        <v>40</v>
      </c>
      <c r="D9" s="2" t="n">
        <v>39</v>
      </c>
      <c r="E9" s="4" t="n">
        <f aca="false">D9*0.315</f>
        <v>12.285</v>
      </c>
      <c r="F9" s="5"/>
      <c r="G9" s="6"/>
      <c r="H9" s="6"/>
      <c r="I9" s="6"/>
      <c r="J9" s="7" t="str">
        <f aca="false">IF(OR(H9="",I9=""),"",I9/E9)</f>
        <v/>
      </c>
      <c r="K9" s="6"/>
      <c r="L9" s="6"/>
      <c r="M9" s="6"/>
      <c r="N9" s="6"/>
      <c r="O9" s="6"/>
      <c r="P9" s="6"/>
      <c r="Q9" s="7" t="str">
        <f aca="false">IF(OR(L9="",P9="",L9=0),"",P9/L9)</f>
        <v/>
      </c>
      <c r="R9" s="8" t="str">
        <f aca="false">IF(OR(H9="",NOT(ISNUMBER($W$3)),$W$3=0),"",H9/$W$3)</f>
        <v/>
      </c>
      <c r="S9" s="2" t="str">
        <f aca="false">IF(H9="","Not posted",IF(NOT(ISNUMBER($W$3)),"Insufficient evidence",IF(AND(H9&gt;=200,R9&gt;=1.5),"Provisional winner","Below bar")))</f>
        <v>Not posted</v>
      </c>
      <c r="T9" s="6"/>
    </row>
    <row r="10" customFormat="false" ht="15" hidden="false" customHeight="false" outlineLevel="0" collapsed="false">
      <c r="A10" s="2" t="n">
        <v>9</v>
      </c>
      <c r="B10" s="2" t="s">
        <v>41</v>
      </c>
      <c r="C10" s="3" t="s">
        <v>42</v>
      </c>
      <c r="D10" s="2" t="n">
        <v>37</v>
      </c>
      <c r="E10" s="4" t="n">
        <f aca="false">D10*0.315</f>
        <v>11.655</v>
      </c>
      <c r="F10" s="5"/>
      <c r="G10" s="6"/>
      <c r="H10" s="6"/>
      <c r="I10" s="6"/>
      <c r="J10" s="7" t="str">
        <f aca="false">IF(OR(H10="",I10=""),"",I10/E10)</f>
        <v/>
      </c>
      <c r="K10" s="6"/>
      <c r="L10" s="6"/>
      <c r="M10" s="6"/>
      <c r="N10" s="6"/>
      <c r="O10" s="6"/>
      <c r="P10" s="6"/>
      <c r="Q10" s="7" t="str">
        <f aca="false">IF(OR(L10="",P10="",L10=0),"",P10/L10)</f>
        <v/>
      </c>
      <c r="R10" s="8" t="str">
        <f aca="false">IF(OR(H10="",NOT(ISNUMBER($W$3)),$W$3=0),"",H10/$W$3)</f>
        <v/>
      </c>
      <c r="S10" s="2" t="str">
        <f aca="false">IF(H10="","Not posted",IF(NOT(ISNUMBER($W$3)),"Insufficient evidence",IF(AND(H10&gt;=200,R10&gt;=1.5),"Provisional winner","Below bar")))</f>
        <v>Not posted</v>
      </c>
      <c r="T10" s="6"/>
    </row>
    <row r="11" customFormat="false" ht="15" hidden="false" customHeight="false" outlineLevel="0" collapsed="false">
      <c r="A11" s="2" t="n">
        <v>10</v>
      </c>
      <c r="B11" s="2" t="s">
        <v>43</v>
      </c>
      <c r="C11" s="3" t="s">
        <v>44</v>
      </c>
      <c r="D11" s="2" t="n">
        <v>42</v>
      </c>
      <c r="E11" s="4" t="n">
        <f aca="false">D11*0.315</f>
        <v>13.23</v>
      </c>
      <c r="F11" s="5"/>
      <c r="G11" s="6"/>
      <c r="H11" s="6"/>
      <c r="I11" s="6"/>
      <c r="J11" s="7" t="str">
        <f aca="false">IF(OR(H11="",I11=""),"",I11/E11)</f>
        <v/>
      </c>
      <c r="K11" s="6"/>
      <c r="L11" s="6"/>
      <c r="M11" s="6"/>
      <c r="N11" s="6"/>
      <c r="O11" s="6"/>
      <c r="P11" s="6"/>
      <c r="Q11" s="7" t="str">
        <f aca="false">IF(OR(L11="",P11="",L11=0),"",P11/L11)</f>
        <v/>
      </c>
      <c r="R11" s="8" t="str">
        <f aca="false">IF(OR(H11="",NOT(ISNUMBER($W$3)),$W$3=0),"",H11/$W$3)</f>
        <v/>
      </c>
      <c r="S11" s="2" t="str">
        <f aca="false">IF(H11="","Not posted",IF(NOT(ISNUMBER($W$3)),"Insufficient evidence",IF(AND(H11&gt;=200,R11&gt;=1.5),"Provisional winner","Below bar")))</f>
        <v>Not posted</v>
      </c>
      <c r="T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9" t="s">
        <v>45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46</v>
      </c>
    </row>
    <row r="4" customFormat="false" ht="15" hidden="false" customHeight="false" outlineLevel="0" collapsed="false">
      <c r="A4" s="2" t="s">
        <v>47</v>
      </c>
    </row>
    <row r="5" customFormat="false" ht="15" hidden="false" customHeight="false" outlineLevel="0" collapsed="false">
      <c r="A5" s="2" t="s">
        <v>48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9" t="s">
        <v>49</v>
      </c>
    </row>
    <row r="8" customFormat="false" ht="15" hidden="false" customHeight="false" outlineLevel="0" collapsed="false">
      <c r="A8" s="2" t="s">
        <v>50</v>
      </c>
    </row>
    <row r="9" customFormat="false" ht="15" hidden="false" customHeight="false" outlineLevel="0" collapsed="false">
      <c r="A9" s="2" t="s">
        <v>51</v>
      </c>
    </row>
    <row r="10" customFormat="false" ht="15" hidden="false" customHeight="false" outlineLevel="0" collapsed="false">
      <c r="A10" s="2" t="s">
        <v>52</v>
      </c>
    </row>
    <row r="11" customFormat="false" ht="15" hidden="false" customHeight="false" outlineLevel="0" collapsed="false">
      <c r="A11" s="2" t="s">
        <v>53</v>
      </c>
    </row>
    <row r="12" customFormat="false" ht="15" hidden="false" customHeight="false" outlineLevel="0" collapsed="false">
      <c r="A12" s="2" t="s">
        <v>54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9" t="s">
        <v>55</v>
      </c>
    </row>
    <row r="15" customFormat="false" ht="15" hidden="false" customHeight="false" outlineLevel="0" collapsed="false">
      <c r="A15" s="9" t="s">
        <v>56</v>
      </c>
      <c r="B15" s="9" t="s">
        <v>57</v>
      </c>
      <c r="C15" s="9" t="s">
        <v>7</v>
      </c>
      <c r="D15" s="9" t="s">
        <v>58</v>
      </c>
      <c r="E15" s="9" t="s">
        <v>10</v>
      </c>
      <c r="F15" s="9" t="s">
        <v>11</v>
      </c>
      <c r="G15" s="9" t="s">
        <v>15</v>
      </c>
    </row>
    <row r="16" customFormat="false" ht="15" hidden="false" customHeight="false" outlineLevel="0" collapsed="false">
      <c r="A16" s="11" t="s">
        <v>59</v>
      </c>
      <c r="B16" s="11" t="s">
        <v>60</v>
      </c>
      <c r="C16" s="11" t="n">
        <v>143</v>
      </c>
      <c r="D16" s="11" t="n">
        <v>7.2</v>
      </c>
      <c r="E16" s="11" t="n">
        <v>310</v>
      </c>
      <c r="F16" s="11" t="n">
        <v>402</v>
      </c>
      <c r="G16" s="11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2026-10-06T05:04:45Z</dcterms:created>
  <dc:creator>openpyxl</dc:creator>
  <dc:description/>
  <dc:language>en-US</dc:language>
  <cp:lastModifiedBy/>
  <dcterms:modified xsi:type="dcterms:W3CDTF">2026-10-06T05:04:45Z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